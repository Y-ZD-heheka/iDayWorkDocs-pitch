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项目预算" sheetId="1" r:id="rId1"/>
  </sheets>
  <calcPr calcId="162913"/>
</workbook>
</file>

<file path=xl/calcChain.xml><?xml version="1.0" encoding="utf-8"?>
<calcChain xmlns="http://schemas.openxmlformats.org/spreadsheetml/2006/main">
  <c r="I31" i="1" l="1"/>
  <c r="L31" i="1" s="1"/>
  <c r="L32" i="1"/>
  <c r="K36" i="1"/>
  <c r="L27" i="1"/>
  <c r="I30" i="1"/>
  <c r="L30" i="1" s="1"/>
  <c r="L23" i="1"/>
  <c r="X32" i="1"/>
  <c r="U32" i="1"/>
  <c r="R32" i="1"/>
  <c r="O32" i="1"/>
  <c r="L29" i="1"/>
  <c r="L28" i="1"/>
  <c r="X27" i="1"/>
  <c r="U27" i="1"/>
  <c r="R27" i="1"/>
  <c r="O27" i="1"/>
  <c r="L26" i="1"/>
  <c r="L25" i="1"/>
  <c r="I24" i="1"/>
  <c r="L24" i="1" s="1"/>
  <c r="L22" i="1" s="1"/>
  <c r="I21" i="1"/>
  <c r="L21" i="1" s="1"/>
  <c r="L19" i="1" s="1"/>
  <c r="L20" i="1"/>
  <c r="X19" i="1"/>
  <c r="U19" i="1"/>
  <c r="R19" i="1"/>
  <c r="O19" i="1"/>
  <c r="I18" i="1"/>
  <c r="L18" i="1" s="1"/>
  <c r="L17" i="1"/>
  <c r="X16" i="1"/>
  <c r="U16" i="1"/>
  <c r="R16" i="1"/>
  <c r="O16" i="1"/>
  <c r="L15" i="1"/>
  <c r="L14" i="1"/>
  <c r="L13" i="1"/>
  <c r="L12" i="1"/>
  <c r="X11" i="1"/>
  <c r="U11" i="1"/>
  <c r="R11" i="1"/>
  <c r="O11" i="1"/>
  <c r="L10" i="1" l="1"/>
  <c r="L16" i="1"/>
</calcChain>
</file>

<file path=xl/comments1.xml><?xml version="1.0" encoding="utf-8"?>
<comments xmlns="http://schemas.openxmlformats.org/spreadsheetml/2006/main">
  <authors>
    <author>作者</author>
  </authors>
  <commentList>
    <comment ref="L10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每个月100人次，26天计算，需要支出工人工资</t>
        </r>
      </text>
    </comment>
    <comment ref="I1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白班按照每人每天11小时，每月26天，每个班次50人计算</t>
        </r>
      </text>
    </comment>
    <comment ref="I1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夜班按照每人每天11.5小时计算，每月26天计算，50人</t>
        </r>
      </text>
    </comment>
    <comment ref="L15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100人每人每天需要支付3元意外险费用，但这部分是公司先支出，工人扣回，这部分可以默认为0</t>
        </r>
      </text>
    </comment>
    <comment ref="L16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管理人员每月薪资</t>
        </r>
      </text>
    </comment>
    <comment ref="L19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工厂对接人员月薪</t>
        </r>
      </text>
    </comment>
    <comment ref="L2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招募工人两名员工月薪</t>
        </r>
      </text>
    </comment>
    <comment ref="L30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工厂需要支付工人整体薪资</t>
        </r>
      </text>
    </comment>
    <comment ref="L3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毛利润</t>
        </r>
      </text>
    </comment>
  </commentList>
</comments>
</file>

<file path=xl/sharedStrings.xml><?xml version="1.0" encoding="utf-8"?>
<sst xmlns="http://schemas.openxmlformats.org/spreadsheetml/2006/main" count="292" uniqueCount="58">
  <si>
    <t>项目预算</t>
    <phoneticPr fontId="4" type="noConversion"/>
  </si>
  <si>
    <t>项目类型</t>
    <phoneticPr fontId="9" type="noConversion"/>
  </si>
  <si>
    <r>
      <t>11</t>
    </r>
    <r>
      <rPr>
        <sz val="8"/>
        <rFont val="宋体"/>
        <family val="3"/>
        <charset val="134"/>
      </rPr>
      <t>小时</t>
    </r>
    <r>
      <rPr>
        <sz val="8"/>
        <rFont val="Arial"/>
        <family val="2"/>
      </rPr>
      <t>/</t>
    </r>
    <r>
      <rPr>
        <sz val="8"/>
        <rFont val="宋体"/>
        <family val="3"/>
        <charset val="134"/>
      </rPr>
      <t>人</t>
    </r>
    <r>
      <rPr>
        <sz val="8"/>
        <rFont val="Arial"/>
        <family val="2"/>
      </rPr>
      <t>/</t>
    </r>
    <r>
      <rPr>
        <sz val="8"/>
        <rFont val="宋体"/>
        <family val="3"/>
        <charset val="134"/>
      </rPr>
      <t>天</t>
    </r>
    <phoneticPr fontId="4" type="noConversion"/>
  </si>
  <si>
    <t>[        ]</t>
  </si>
  <si>
    <r>
      <t xml:space="preserve">B.  </t>
    </r>
    <r>
      <rPr>
        <sz val="8"/>
        <rFont val="宋体"/>
        <family val="3"/>
        <charset val="134"/>
      </rPr>
      <t>夜班</t>
    </r>
    <phoneticPr fontId="9" type="noConversion"/>
  </si>
  <si>
    <r>
      <t>结算</t>
    </r>
    <r>
      <rPr>
        <b/>
        <u/>
        <sz val="10"/>
        <rFont val="'宋体"/>
        <family val="2"/>
      </rPr>
      <t>1</t>
    </r>
    <r>
      <rPr>
        <b/>
        <u/>
        <sz val="11"/>
        <rFont val="'宋体"/>
        <family val="2"/>
      </rPr>
      <t/>
    </r>
    <phoneticPr fontId="9" type="noConversion"/>
  </si>
  <si>
    <t>向工人付费</t>
    <phoneticPr fontId="9" type="noConversion"/>
  </si>
  <si>
    <t xml:space="preserve">[                   </t>
    <phoneticPr fontId="9" type="noConversion"/>
  </si>
  <si>
    <t>]</t>
    <phoneticPr fontId="9" type="noConversion"/>
  </si>
  <si>
    <t>]</t>
    <phoneticPr fontId="9" type="noConversion"/>
  </si>
  <si>
    <t xml:space="preserve">[                  </t>
    <phoneticPr fontId="9" type="noConversion"/>
  </si>
  <si>
    <t xml:space="preserve">[                 </t>
    <phoneticPr fontId="9" type="noConversion"/>
  </si>
  <si>
    <t>]</t>
    <phoneticPr fontId="9" type="noConversion"/>
  </si>
  <si>
    <t xml:space="preserve">[                 </t>
    <phoneticPr fontId="9" type="noConversion"/>
  </si>
  <si>
    <t>兼职工人</t>
    <phoneticPr fontId="9" type="noConversion"/>
  </si>
  <si>
    <t>[                   ]</t>
    <phoneticPr fontId="9" type="noConversion"/>
  </si>
  <si>
    <t xml:space="preserve">[                   </t>
    <phoneticPr fontId="9" type="noConversion"/>
  </si>
  <si>
    <t xml:space="preserve">[                </t>
    <phoneticPr fontId="9" type="noConversion"/>
  </si>
  <si>
    <t xml:space="preserve">[                </t>
    <phoneticPr fontId="9" type="noConversion"/>
  </si>
  <si>
    <t>保险费</t>
    <phoneticPr fontId="4" type="noConversion"/>
  </si>
  <si>
    <t>向员工付费</t>
    <phoneticPr fontId="9" type="noConversion"/>
  </si>
  <si>
    <t>提成</t>
    <phoneticPr fontId="4" type="noConversion"/>
  </si>
  <si>
    <r>
      <t>员工 （</t>
    </r>
    <r>
      <rPr>
        <u/>
        <sz val="9"/>
        <rFont val="宋体"/>
        <family val="3"/>
        <charset val="134"/>
      </rPr>
      <t>全职）</t>
    </r>
    <phoneticPr fontId="9" type="noConversion"/>
  </si>
  <si>
    <t xml:space="preserve">[                </t>
    <phoneticPr fontId="9" type="noConversion"/>
  </si>
  <si>
    <t>提成</t>
    <phoneticPr fontId="9" type="noConversion"/>
  </si>
  <si>
    <t>招募工人底薪</t>
    <phoneticPr fontId="4" type="noConversion"/>
  </si>
  <si>
    <t>其他：高温补贴等等</t>
    <phoneticPr fontId="4" type="noConversion"/>
  </si>
  <si>
    <t>办公场地租赁</t>
    <phoneticPr fontId="4" type="noConversion"/>
  </si>
  <si>
    <t>行政费用</t>
    <phoneticPr fontId="4" type="noConversion"/>
  </si>
  <si>
    <t>办公损耗费用</t>
    <phoneticPr fontId="4" type="noConversion"/>
  </si>
  <si>
    <r>
      <t xml:space="preserve">A. </t>
    </r>
    <r>
      <rPr>
        <sz val="8"/>
        <rFont val="宋体"/>
        <family val="3"/>
        <charset val="134"/>
      </rPr>
      <t>日班</t>
    </r>
    <phoneticPr fontId="9" type="noConversion"/>
  </si>
  <si>
    <r>
      <t>11.5</t>
    </r>
    <r>
      <rPr>
        <sz val="8"/>
        <rFont val="宋体"/>
        <family val="3"/>
        <charset val="134"/>
      </rPr>
      <t>小时</t>
    </r>
    <r>
      <rPr>
        <sz val="8"/>
        <rFont val="Arial"/>
        <family val="2"/>
      </rPr>
      <t>/</t>
    </r>
    <r>
      <rPr>
        <sz val="8"/>
        <rFont val="宋体"/>
        <family val="3"/>
        <charset val="134"/>
      </rPr>
      <t>人</t>
    </r>
    <r>
      <rPr>
        <sz val="8"/>
        <rFont val="Arial"/>
        <family val="2"/>
      </rPr>
      <t>/</t>
    </r>
    <r>
      <rPr>
        <sz val="8"/>
        <rFont val="宋体"/>
        <family val="3"/>
        <charset val="134"/>
      </rPr>
      <t>天</t>
    </r>
    <phoneticPr fontId="4" type="noConversion"/>
  </si>
  <si>
    <t xml:space="preserve"> </t>
    <phoneticPr fontId="4" type="noConversion"/>
  </si>
  <si>
    <t xml:space="preserve"> (费用估算) :  </t>
    <phoneticPr fontId="4" type="noConversion"/>
  </si>
  <si>
    <t>单价</t>
    <phoneticPr fontId="4" type="noConversion"/>
  </si>
  <si>
    <t>时长</t>
    <phoneticPr fontId="4" type="noConversion"/>
  </si>
  <si>
    <t>预算1</t>
    <phoneticPr fontId="9" type="noConversion"/>
  </si>
  <si>
    <t>预算2</t>
    <phoneticPr fontId="9" type="noConversion"/>
  </si>
  <si>
    <t>结算2</t>
    <phoneticPr fontId="9" type="noConversion"/>
  </si>
  <si>
    <t>决算-差额</t>
    <phoneticPr fontId="9" type="noConversion"/>
  </si>
  <si>
    <t>[</t>
    <phoneticPr fontId="9" type="noConversion"/>
  </si>
  <si>
    <t xml:space="preserve">[                   </t>
    <phoneticPr fontId="9" type="noConversion"/>
  </si>
  <si>
    <t>白班</t>
    <phoneticPr fontId="9" type="noConversion"/>
  </si>
  <si>
    <t>晚班</t>
    <phoneticPr fontId="4" type="noConversion"/>
  </si>
  <si>
    <t>其他（包含电话费）</t>
    <phoneticPr fontId="9" type="noConversion"/>
  </si>
  <si>
    <t>管理者底薪</t>
    <phoneticPr fontId="4" type="noConversion"/>
  </si>
  <si>
    <t>[                   ]</t>
    <phoneticPr fontId="9" type="noConversion"/>
  </si>
  <si>
    <t>工厂对接员工底薪</t>
    <phoneticPr fontId="9" type="noConversion"/>
  </si>
  <si>
    <t xml:space="preserve">[                  </t>
    <phoneticPr fontId="9" type="noConversion"/>
  </si>
  <si>
    <t>财务费用</t>
    <phoneticPr fontId="9" type="noConversion"/>
  </si>
  <si>
    <t xml:space="preserve">[                 </t>
    <phoneticPr fontId="9" type="noConversion"/>
  </si>
  <si>
    <t xml:space="preserve">[                   </t>
    <phoneticPr fontId="9" type="noConversion"/>
  </si>
  <si>
    <t xml:space="preserve"> </t>
    <phoneticPr fontId="9" type="noConversion"/>
  </si>
  <si>
    <t>整体费用</t>
    <phoneticPr fontId="4" type="noConversion"/>
  </si>
  <si>
    <t>利润（毛利润）</t>
    <phoneticPr fontId="4" type="noConversion"/>
  </si>
  <si>
    <t>Total  总计</t>
    <phoneticPr fontId="3" type="noConversion"/>
  </si>
  <si>
    <t>每月需要支出</t>
    <phoneticPr fontId="3" type="noConversion"/>
  </si>
  <si>
    <t>纯利润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</si>
</sst>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14"/>
      <name val="宋体"/>
      <family val="3"/>
      <charset val="134"/>
    </font>
    <font>
      <sz val="8"/>
      <name val="宋体"/>
      <family val="3"/>
      <charset val="134"/>
    </font>
    <font>
      <sz val="10"/>
      <name val="Helv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'宋体"/>
      <family val="2"/>
    </font>
    <font>
      <b/>
      <u/>
      <sz val="11"/>
      <name val="'宋体"/>
      <family val="2"/>
    </font>
    <font>
      <b/>
      <u/>
      <sz val="10"/>
      <name val="'宋体"/>
      <family val="2"/>
    </font>
    <font>
      <b/>
      <u/>
      <sz val="10"/>
      <name val="宋体"/>
      <family val="3"/>
      <charset val="134"/>
    </font>
    <font>
      <b/>
      <u/>
      <sz val="11"/>
      <name val="'宋体"/>
      <family val="2"/>
    </font>
    <font>
      <b/>
      <sz val="10"/>
      <name val="'宋体"/>
      <family val="2"/>
    </font>
    <font>
      <b/>
      <sz val="11"/>
      <name val="'宋体"/>
      <family val="2"/>
    </font>
    <font>
      <sz val="10"/>
      <name val="'宋体"/>
      <family val="2"/>
    </font>
    <font>
      <i/>
      <u/>
      <sz val="9"/>
      <name val="'宋体"/>
      <family val="2"/>
    </font>
    <font>
      <b/>
      <sz val="9"/>
      <name val="'宋体"/>
      <family val="2"/>
    </font>
    <font>
      <b/>
      <sz val="12"/>
      <name val="'宋体"/>
      <family val="2"/>
    </font>
    <font>
      <sz val="9"/>
      <name val="'宋体"/>
      <family val="2"/>
    </font>
    <font>
      <sz val="12"/>
      <name val="'宋体"/>
      <family val="2"/>
    </font>
    <font>
      <b/>
      <i/>
      <u/>
      <sz val="9"/>
      <name val="'宋体"/>
      <family val="2"/>
    </font>
    <font>
      <b/>
      <i/>
      <u/>
      <sz val="12"/>
      <name val="'宋体"/>
      <family val="2"/>
    </font>
    <font>
      <u/>
      <sz val="9"/>
      <name val="'宋体"/>
      <family val="2"/>
    </font>
    <font>
      <u/>
      <sz val="9"/>
      <name val="宋体"/>
      <family val="3"/>
      <charset val="134"/>
    </font>
    <font>
      <b/>
      <u/>
      <sz val="12"/>
      <name val="'宋体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8" fillId="0" borderId="0" xfId="0" applyFont="1" applyBorder="1"/>
    <xf numFmtId="0" fontId="10" fillId="0" borderId="0" xfId="0" applyFont="1" applyBorder="1"/>
    <xf numFmtId="0" fontId="11" fillId="0" borderId="0" xfId="0" applyFont="1" applyBorder="1"/>
    <xf numFmtId="0" fontId="11" fillId="0" borderId="0" xfId="0" applyFont="1" applyBorder="1" applyAlignment="1">
      <alignment horizontal="center"/>
    </xf>
    <xf numFmtId="4" fontId="11" fillId="0" borderId="0" xfId="0" applyNumberFormat="1" applyFont="1" applyBorder="1"/>
    <xf numFmtId="0" fontId="11" fillId="0" borderId="0" xfId="0" applyFont="1" applyBorder="1" applyAlignment="1">
      <alignment horizontal="right"/>
    </xf>
    <xf numFmtId="0" fontId="11" fillId="2" borderId="0" xfId="0" applyFont="1" applyFill="1" applyBorder="1"/>
    <xf numFmtId="0" fontId="11" fillId="0" borderId="0" xfId="0" applyFont="1"/>
    <xf numFmtId="0" fontId="11" fillId="0" borderId="0" xfId="0" applyFont="1" applyAlignment="1">
      <alignment horizontal="center"/>
    </xf>
    <xf numFmtId="4" fontId="11" fillId="0" borderId="0" xfId="0" applyNumberFormat="1" applyFont="1"/>
    <xf numFmtId="0" fontId="10" fillId="0" borderId="4" xfId="0" applyFont="1" applyBorder="1"/>
    <xf numFmtId="0" fontId="11" fillId="0" borderId="4" xfId="0" applyFont="1" applyBorder="1"/>
    <xf numFmtId="0" fontId="11" fillId="0" borderId="4" xfId="0" applyFont="1" applyBorder="1" applyAlignment="1">
      <alignment horizontal="center"/>
    </xf>
    <xf numFmtId="4" fontId="11" fillId="0" borderId="4" xfId="0" applyNumberFormat="1" applyFont="1" applyBorder="1"/>
    <xf numFmtId="0" fontId="11" fillId="0" borderId="4" xfId="0" applyFont="1" applyBorder="1" applyAlignment="1">
      <alignment horizontal="right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2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6" xfId="0" applyFont="1" applyBorder="1" applyAlignment="1">
      <alignment horizontal="left"/>
    </xf>
    <xf numFmtId="0" fontId="15" fillId="0" borderId="6" xfId="0" applyFont="1" applyBorder="1" applyAlignment="1">
      <alignment horizontal="center"/>
    </xf>
    <xf numFmtId="0" fontId="17" fillId="0" borderId="9" xfId="0" applyFont="1" applyBorder="1" applyAlignment="1">
      <alignment vertical="center"/>
    </xf>
    <xf numFmtId="0" fontId="18" fillId="0" borderId="10" xfId="0" quotePrefix="1" applyFont="1" applyBorder="1" applyAlignment="1">
      <alignment horizontal="center" vertical="center"/>
    </xf>
    <xf numFmtId="0" fontId="2" fillId="0" borderId="11" xfId="0" applyFont="1" applyBorder="1" applyAlignment="1"/>
    <xf numFmtId="0" fontId="19" fillId="0" borderId="11" xfId="0" applyFont="1" applyBorder="1" applyAlignment="1"/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wrapText="1"/>
    </xf>
    <xf numFmtId="0" fontId="19" fillId="0" borderId="0" xfId="0" applyFont="1" applyBorder="1" applyAlignment="1">
      <alignment wrapText="1"/>
    </xf>
    <xf numFmtId="0" fontId="19" fillId="0" borderId="10" xfId="0" applyFont="1" applyBorder="1"/>
    <xf numFmtId="0" fontId="19" fillId="0" borderId="11" xfId="0" applyFont="1" applyBorder="1"/>
    <xf numFmtId="0" fontId="19" fillId="0" borderId="14" xfId="0" applyFont="1" applyBorder="1"/>
    <xf numFmtId="0" fontId="16" fillId="0" borderId="10" xfId="0" quotePrefix="1" applyFont="1" applyBorder="1" applyAlignment="1">
      <alignment horizontal="center" vertical="center"/>
    </xf>
    <xf numFmtId="0" fontId="20" fillId="0" borderId="11" xfId="0" applyFont="1" applyBorder="1"/>
    <xf numFmtId="0" fontId="21" fillId="0" borderId="11" xfId="0" applyFont="1" applyBorder="1"/>
    <xf numFmtId="0" fontId="21" fillId="0" borderId="12" xfId="0" applyFont="1" applyBorder="1" applyAlignment="1">
      <alignment horizontal="center"/>
    </xf>
    <xf numFmtId="0" fontId="22" fillId="0" borderId="13" xfId="0" applyFont="1" applyBorder="1"/>
    <xf numFmtId="0" fontId="22" fillId="0" borderId="0" xfId="0" applyFont="1" applyBorder="1"/>
    <xf numFmtId="0" fontId="17" fillId="0" borderId="10" xfId="0" applyFont="1" applyBorder="1"/>
    <xf numFmtId="0" fontId="17" fillId="0" borderId="11" xfId="0" applyFont="1" applyBorder="1"/>
    <xf numFmtId="0" fontId="17" fillId="0" borderId="14" xfId="0" applyFont="1" applyBorder="1"/>
    <xf numFmtId="0" fontId="18" fillId="0" borderId="10" xfId="0" quotePrefix="1" applyFont="1" applyBorder="1" applyAlignment="1">
      <alignment horizontal="center"/>
    </xf>
    <xf numFmtId="0" fontId="23" fillId="0" borderId="11" xfId="0" applyFont="1" applyBorder="1"/>
    <xf numFmtId="0" fontId="4" fillId="0" borderId="11" xfId="0" applyFont="1" applyBorder="1"/>
    <xf numFmtId="0" fontId="23" fillId="0" borderId="12" xfId="0" applyFont="1" applyBorder="1" applyAlignment="1">
      <alignment horizontal="center"/>
    </xf>
    <xf numFmtId="0" fontId="23" fillId="0" borderId="13" xfId="0" applyFont="1" applyBorder="1"/>
    <xf numFmtId="0" fontId="24" fillId="0" borderId="0" xfId="0" applyFont="1" applyBorder="1"/>
    <xf numFmtId="0" fontId="16" fillId="0" borderId="10" xfId="0" quotePrefix="1" applyFont="1" applyBorder="1" applyAlignment="1">
      <alignment horizontal="center"/>
    </xf>
    <xf numFmtId="0" fontId="25" fillId="0" borderId="11" xfId="0" applyFont="1" applyBorder="1"/>
    <xf numFmtId="0" fontId="25" fillId="0" borderId="12" xfId="0" applyFont="1" applyBorder="1" applyAlignment="1">
      <alignment horizontal="center"/>
    </xf>
    <xf numFmtId="0" fontId="26" fillId="0" borderId="13" xfId="0" applyFont="1" applyBorder="1"/>
    <xf numFmtId="0" fontId="26" fillId="0" borderId="0" xfId="0" applyFont="1" applyBorder="1"/>
    <xf numFmtId="0" fontId="23" fillId="0" borderId="11" xfId="0" applyFont="1" applyBorder="1" applyAlignment="1">
      <alignment horizontal="left"/>
    </xf>
    <xf numFmtId="0" fontId="27" fillId="0" borderId="11" xfId="0" applyFont="1" applyBorder="1"/>
    <xf numFmtId="0" fontId="28" fillId="0" borderId="11" xfId="0" applyFont="1" applyBorder="1"/>
    <xf numFmtId="0" fontId="27" fillId="0" borderId="11" xfId="0" quotePrefix="1" applyFont="1" applyBorder="1" applyAlignment="1">
      <alignment horizontal="left"/>
    </xf>
    <xf numFmtId="0" fontId="18" fillId="0" borderId="15" xfId="0" quotePrefix="1" applyFont="1" applyBorder="1" applyAlignment="1">
      <alignment horizontal="center"/>
    </xf>
    <xf numFmtId="0" fontId="23" fillId="0" borderId="16" xfId="0" applyFont="1" applyBorder="1"/>
    <xf numFmtId="0" fontId="23" fillId="0" borderId="17" xfId="0" applyFont="1" applyBorder="1" applyAlignment="1">
      <alignment horizontal="center"/>
    </xf>
    <xf numFmtId="0" fontId="23" fillId="0" borderId="18" xfId="0" applyFont="1" applyBorder="1"/>
    <xf numFmtId="0" fontId="24" fillId="0" borderId="19" xfId="0" applyFont="1" applyBorder="1"/>
    <xf numFmtId="0" fontId="19" fillId="0" borderId="15" xfId="0" applyFont="1" applyBorder="1"/>
    <xf numFmtId="0" fontId="19" fillId="0" borderId="16" xfId="0" applyFont="1" applyBorder="1"/>
    <xf numFmtId="0" fontId="19" fillId="0" borderId="20" xfId="0" applyFont="1" applyBorder="1"/>
    <xf numFmtId="0" fontId="16" fillId="0" borderId="0" xfId="0" quotePrefix="1" applyFont="1" applyBorder="1"/>
    <xf numFmtId="0" fontId="23" fillId="0" borderId="0" xfId="0" applyFont="1" applyBorder="1"/>
    <xf numFmtId="0" fontId="23" fillId="0" borderId="0" xfId="0" applyFont="1" applyBorder="1" applyAlignment="1">
      <alignment horizontal="center"/>
    </xf>
    <xf numFmtId="0" fontId="17" fillId="0" borderId="0" xfId="0" applyFont="1" applyBorder="1"/>
    <xf numFmtId="0" fontId="22" fillId="0" borderId="0" xfId="0" quotePrefix="1" applyFont="1" applyBorder="1"/>
    <xf numFmtId="0" fontId="19" fillId="0" borderId="0" xfId="0" applyFont="1" applyBorder="1"/>
    <xf numFmtId="0" fontId="22" fillId="0" borderId="19" xfId="0" quotePrefix="1" applyFont="1" applyBorder="1"/>
    <xf numFmtId="0" fontId="23" fillId="0" borderId="19" xfId="0" applyFont="1" applyBorder="1"/>
    <xf numFmtId="0" fontId="23" fillId="0" borderId="19" xfId="0" applyFont="1" applyBorder="1" applyAlignment="1">
      <alignment horizontal="center"/>
    </xf>
    <xf numFmtId="0" fontId="18" fillId="0" borderId="0" xfId="0" applyFont="1" applyBorder="1"/>
    <xf numFmtId="49" fontId="19" fillId="0" borderId="0" xfId="0" applyNumberFormat="1" applyFont="1" applyBorder="1"/>
    <xf numFmtId="49" fontId="24" fillId="0" borderId="0" xfId="0" applyNumberFormat="1" applyFont="1" applyBorder="1" applyAlignment="1">
      <alignment horizontal="left"/>
    </xf>
    <xf numFmtId="0" fontId="24" fillId="0" borderId="21" xfId="0" applyFont="1" applyBorder="1"/>
    <xf numFmtId="0" fontId="19" fillId="0" borderId="21" xfId="0" applyFont="1" applyBorder="1"/>
    <xf numFmtId="0" fontId="19" fillId="0" borderId="0" xfId="0" applyFont="1" applyBorder="1" applyAlignment="1">
      <alignment horizontal="center"/>
    </xf>
    <xf numFmtId="0" fontId="29" fillId="0" borderId="0" xfId="0" applyFont="1" applyBorder="1" applyAlignment="1">
      <alignment horizontal="right"/>
    </xf>
    <xf numFmtId="0" fontId="19" fillId="0" borderId="11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23" fillId="0" borderId="11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5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36"/>
  <sheetViews>
    <sheetView tabSelected="1" workbookViewId="0">
      <selection activeCell="K20" sqref="K20"/>
    </sheetView>
  </sheetViews>
  <sheetFormatPr defaultRowHeight="14"/>
  <cols>
    <col min="12" max="12" width="8.7265625" style="84"/>
  </cols>
  <sheetData>
    <row r="1" spans="1:25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</row>
    <row r="2" spans="1:25" ht="14" customHeight="1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</row>
    <row r="3" spans="1:25">
      <c r="A3" s="1" t="s">
        <v>1</v>
      </c>
      <c r="B3" s="2"/>
      <c r="C3" s="2"/>
      <c r="D3" s="2"/>
      <c r="E3" s="2"/>
      <c r="F3" s="3"/>
      <c r="G3" s="3"/>
      <c r="H3" s="4"/>
      <c r="I3" s="5"/>
      <c r="J3" s="3"/>
      <c r="K3" s="3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/>
      <c r="Y3" s="2"/>
    </row>
    <row r="4" spans="1:25">
      <c r="A4" s="3" t="s">
        <v>30</v>
      </c>
      <c r="B4" s="3"/>
      <c r="C4" s="3" t="s">
        <v>2</v>
      </c>
      <c r="D4" s="3" t="s">
        <v>3</v>
      </c>
      <c r="E4" s="3"/>
      <c r="F4" s="3"/>
      <c r="G4" s="3"/>
      <c r="H4" s="4"/>
      <c r="I4" s="5"/>
      <c r="J4" s="3"/>
      <c r="K4" s="3"/>
      <c r="L4" s="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6"/>
      <c r="Y4" s="2"/>
    </row>
    <row r="5" spans="1:25">
      <c r="A5" s="3" t="s">
        <v>4</v>
      </c>
      <c r="B5" s="3"/>
      <c r="C5" s="3" t="s">
        <v>31</v>
      </c>
      <c r="D5" s="7" t="s">
        <v>3</v>
      </c>
      <c r="E5" s="3"/>
      <c r="F5" s="3"/>
      <c r="G5" s="3"/>
      <c r="H5" s="4"/>
      <c r="I5" s="5"/>
      <c r="J5" s="3"/>
      <c r="K5" s="3"/>
      <c r="L5" s="4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6"/>
      <c r="Y5" s="2"/>
    </row>
    <row r="6" spans="1:25">
      <c r="A6" s="2"/>
      <c r="B6" s="2"/>
      <c r="C6" s="2"/>
      <c r="D6" s="2"/>
      <c r="E6" s="2"/>
      <c r="F6" s="3"/>
      <c r="G6" s="3"/>
      <c r="H6" s="4"/>
      <c r="I6" s="5"/>
      <c r="J6" s="3"/>
      <c r="K6" s="3"/>
      <c r="L6" s="4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6"/>
      <c r="Y6" s="2"/>
    </row>
    <row r="7" spans="1:25">
      <c r="A7" s="3"/>
      <c r="B7" s="3"/>
      <c r="C7" s="8"/>
      <c r="D7" s="3"/>
      <c r="E7" s="3"/>
      <c r="F7" s="8"/>
      <c r="G7" s="8"/>
      <c r="H7" s="9"/>
      <c r="I7" s="10"/>
      <c r="J7" s="3"/>
      <c r="K7" s="3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6"/>
      <c r="Y7" s="2"/>
    </row>
    <row r="8" spans="1:25" ht="14.5" thickBot="1">
      <c r="A8" s="11"/>
      <c r="B8" s="12"/>
      <c r="C8" s="12"/>
      <c r="D8" s="12"/>
      <c r="E8" s="12"/>
      <c r="F8" s="12"/>
      <c r="G8" s="12"/>
      <c r="H8" s="13"/>
      <c r="I8" s="14"/>
      <c r="J8" s="12"/>
      <c r="K8" s="12"/>
      <c r="L8" s="13"/>
      <c r="M8" s="12"/>
      <c r="N8" s="12"/>
      <c r="O8" s="12" t="s">
        <v>32</v>
      </c>
      <c r="P8" s="12"/>
      <c r="Q8" s="12"/>
      <c r="R8" s="12"/>
      <c r="S8" s="12"/>
      <c r="T8" s="12"/>
      <c r="U8" s="12"/>
      <c r="V8" s="12"/>
      <c r="W8" s="12"/>
      <c r="X8" s="15"/>
      <c r="Y8" s="11"/>
    </row>
    <row r="9" spans="1:25">
      <c r="A9" s="16" t="s">
        <v>33</v>
      </c>
      <c r="B9" s="17"/>
      <c r="C9" s="18"/>
      <c r="D9" s="17"/>
      <c r="E9" s="17"/>
      <c r="F9" s="17"/>
      <c r="G9" s="17"/>
      <c r="H9" s="19" t="s">
        <v>34</v>
      </c>
      <c r="I9" s="20" t="s">
        <v>35</v>
      </c>
      <c r="J9" s="21"/>
      <c r="K9" s="90" t="s">
        <v>36</v>
      </c>
      <c r="L9" s="91"/>
      <c r="M9" s="91"/>
      <c r="N9" s="92" t="s">
        <v>37</v>
      </c>
      <c r="O9" s="92"/>
      <c r="P9" s="92"/>
      <c r="Q9" s="92" t="s">
        <v>5</v>
      </c>
      <c r="R9" s="92"/>
      <c r="S9" s="92"/>
      <c r="T9" s="92" t="s">
        <v>38</v>
      </c>
      <c r="U9" s="92"/>
      <c r="V9" s="92"/>
      <c r="W9" s="22" t="s">
        <v>39</v>
      </c>
      <c r="X9" s="23"/>
      <c r="Y9" s="24"/>
    </row>
    <row r="10" spans="1:25" ht="14.5">
      <c r="A10" s="25">
        <v>1001</v>
      </c>
      <c r="B10" s="26" t="s">
        <v>6</v>
      </c>
      <c r="C10" s="27"/>
      <c r="D10" s="27"/>
      <c r="E10" s="27"/>
      <c r="F10" s="27"/>
      <c r="G10" s="27"/>
      <c r="H10" s="28"/>
      <c r="I10" s="29"/>
      <c r="J10" s="30"/>
      <c r="K10" s="31" t="s">
        <v>7</v>
      </c>
      <c r="L10" s="83">
        <f>L12+L13+L14</f>
        <v>526500</v>
      </c>
      <c r="M10" s="32" t="s">
        <v>9</v>
      </c>
      <c r="N10" s="32" t="s">
        <v>16</v>
      </c>
      <c r="O10" s="32"/>
      <c r="P10" s="32" t="s">
        <v>9</v>
      </c>
      <c r="Q10" s="32" t="s">
        <v>10</v>
      </c>
      <c r="R10" s="32"/>
      <c r="S10" s="32" t="s">
        <v>9</v>
      </c>
      <c r="T10" s="32" t="s">
        <v>11</v>
      </c>
      <c r="U10" s="32"/>
      <c r="V10" s="32" t="s">
        <v>9</v>
      </c>
      <c r="W10" s="32" t="s">
        <v>11</v>
      </c>
      <c r="X10" s="32"/>
      <c r="Y10" s="33" t="s">
        <v>8</v>
      </c>
    </row>
    <row r="11" spans="1:25" ht="15.5">
      <c r="A11" s="34">
        <v>1002</v>
      </c>
      <c r="B11" s="26" t="s">
        <v>14</v>
      </c>
      <c r="C11" s="35"/>
      <c r="D11" s="36"/>
      <c r="E11" s="36"/>
      <c r="F11" s="36"/>
      <c r="G11" s="36"/>
      <c r="H11" s="37"/>
      <c r="I11" s="38"/>
      <c r="J11" s="39"/>
      <c r="K11" s="40" t="s">
        <v>40</v>
      </c>
      <c r="L11" s="83"/>
      <c r="M11" s="41" t="s">
        <v>8</v>
      </c>
      <c r="N11" s="41" t="s">
        <v>15</v>
      </c>
      <c r="O11" s="41">
        <f>SUM(O12:O14)</f>
        <v>0</v>
      </c>
      <c r="P11" s="41" t="s">
        <v>9</v>
      </c>
      <c r="Q11" s="41" t="s">
        <v>41</v>
      </c>
      <c r="R11" s="41">
        <f>SUM(R12:R14)</f>
        <v>0</v>
      </c>
      <c r="S11" s="41" t="s">
        <v>12</v>
      </c>
      <c r="T11" s="41" t="s">
        <v>11</v>
      </c>
      <c r="U11" s="41">
        <f>SUM(U12:U14)</f>
        <v>0</v>
      </c>
      <c r="V11" s="41" t="s">
        <v>9</v>
      </c>
      <c r="W11" s="41" t="s">
        <v>11</v>
      </c>
      <c r="X11" s="41">
        <f>SUM(X12:X14)</f>
        <v>0</v>
      </c>
      <c r="Y11" s="42" t="s">
        <v>9</v>
      </c>
    </row>
    <row r="12" spans="1:25" ht="15.5">
      <c r="A12" s="43"/>
      <c r="B12" s="44"/>
      <c r="C12" s="45" t="s">
        <v>42</v>
      </c>
      <c r="D12" s="44"/>
      <c r="E12" s="44"/>
      <c r="F12" s="44"/>
      <c r="G12" s="44"/>
      <c r="H12" s="46">
        <v>18</v>
      </c>
      <c r="I12" s="47">
        <v>14300</v>
      </c>
      <c r="J12" s="48"/>
      <c r="K12" s="31" t="s">
        <v>41</v>
      </c>
      <c r="L12" s="85">
        <f>H12*I12</f>
        <v>257400</v>
      </c>
      <c r="M12" s="32" t="s">
        <v>9</v>
      </c>
      <c r="N12" s="32" t="s">
        <v>41</v>
      </c>
      <c r="O12" s="32"/>
      <c r="P12" s="32" t="s">
        <v>12</v>
      </c>
      <c r="Q12" s="32" t="s">
        <v>41</v>
      </c>
      <c r="R12" s="32"/>
      <c r="S12" s="32" t="s">
        <v>8</v>
      </c>
      <c r="T12" s="32" t="s">
        <v>13</v>
      </c>
      <c r="U12" s="32"/>
      <c r="V12" s="32" t="s">
        <v>9</v>
      </c>
      <c r="W12" s="32" t="s">
        <v>18</v>
      </c>
      <c r="X12" s="32"/>
      <c r="Y12" s="33" t="s">
        <v>9</v>
      </c>
    </row>
    <row r="13" spans="1:25" ht="15.5">
      <c r="A13" s="43"/>
      <c r="B13" s="44"/>
      <c r="C13" s="45" t="s">
        <v>43</v>
      </c>
      <c r="D13" s="44"/>
      <c r="E13" s="44"/>
      <c r="F13" s="44"/>
      <c r="G13" s="44"/>
      <c r="H13" s="46">
        <v>18</v>
      </c>
      <c r="I13" s="47">
        <v>14950</v>
      </c>
      <c r="J13" s="48"/>
      <c r="K13" s="31" t="s">
        <v>41</v>
      </c>
      <c r="L13" s="85">
        <f t="shared" ref="L13:L31" si="0">H13*I13</f>
        <v>269100</v>
      </c>
      <c r="M13" s="32" t="s">
        <v>12</v>
      </c>
      <c r="N13" s="32" t="s">
        <v>15</v>
      </c>
      <c r="O13" s="32"/>
      <c r="P13" s="32" t="s">
        <v>12</v>
      </c>
      <c r="Q13" s="32" t="s">
        <v>7</v>
      </c>
      <c r="R13" s="32"/>
      <c r="S13" s="32" t="s">
        <v>8</v>
      </c>
      <c r="T13" s="32" t="s">
        <v>18</v>
      </c>
      <c r="U13" s="32"/>
      <c r="V13" s="32" t="s">
        <v>12</v>
      </c>
      <c r="W13" s="32" t="s">
        <v>11</v>
      </c>
      <c r="X13" s="32"/>
      <c r="Y13" s="33" t="s">
        <v>9</v>
      </c>
    </row>
    <row r="14" spans="1:25" ht="15.5">
      <c r="A14" s="49"/>
      <c r="B14" s="45"/>
      <c r="C14" s="45" t="s">
        <v>44</v>
      </c>
      <c r="D14" s="50"/>
      <c r="E14" s="50"/>
      <c r="F14" s="50"/>
      <c r="G14" s="50"/>
      <c r="H14" s="51"/>
      <c r="I14" s="52"/>
      <c r="J14" s="53"/>
      <c r="K14" s="31" t="s">
        <v>16</v>
      </c>
      <c r="L14" s="83">
        <f t="shared" si="0"/>
        <v>0</v>
      </c>
      <c r="M14" s="32" t="s">
        <v>12</v>
      </c>
      <c r="N14" s="32" t="s">
        <v>15</v>
      </c>
      <c r="O14" s="32"/>
      <c r="P14" s="32" t="s">
        <v>12</v>
      </c>
      <c r="Q14" s="32" t="s">
        <v>7</v>
      </c>
      <c r="R14" s="32"/>
      <c r="S14" s="32" t="s">
        <v>12</v>
      </c>
      <c r="T14" s="32" t="s">
        <v>17</v>
      </c>
      <c r="U14" s="32"/>
      <c r="V14" s="32" t="s">
        <v>12</v>
      </c>
      <c r="W14" s="32" t="s">
        <v>11</v>
      </c>
      <c r="X14" s="32"/>
      <c r="Y14" s="33" t="s">
        <v>12</v>
      </c>
    </row>
    <row r="15" spans="1:25" ht="15.5">
      <c r="A15" s="43">
        <v>1003</v>
      </c>
      <c r="B15" s="54" t="s">
        <v>19</v>
      </c>
      <c r="C15" s="44"/>
      <c r="D15" s="44"/>
      <c r="E15" s="44"/>
      <c r="F15" s="44"/>
      <c r="G15" s="44"/>
      <c r="H15" s="46">
        <v>3</v>
      </c>
      <c r="I15" s="47">
        <v>2600</v>
      </c>
      <c r="J15" s="48"/>
      <c r="K15" s="31" t="s">
        <v>10</v>
      </c>
      <c r="L15" s="83">
        <f t="shared" si="0"/>
        <v>7800</v>
      </c>
      <c r="M15" s="32" t="s">
        <v>12</v>
      </c>
      <c r="N15" s="32" t="s">
        <v>15</v>
      </c>
      <c r="O15" s="32"/>
      <c r="P15" s="32" t="s">
        <v>12</v>
      </c>
      <c r="Q15" s="32" t="s">
        <v>16</v>
      </c>
      <c r="R15" s="32"/>
      <c r="S15" s="32" t="s">
        <v>12</v>
      </c>
      <c r="T15" s="32" t="s">
        <v>11</v>
      </c>
      <c r="U15" s="32"/>
      <c r="V15" s="32" t="s">
        <v>12</v>
      </c>
      <c r="W15" s="32" t="s">
        <v>18</v>
      </c>
      <c r="X15" s="32"/>
      <c r="Y15" s="33" t="s">
        <v>12</v>
      </c>
    </row>
    <row r="16" spans="1:25" ht="15.5">
      <c r="A16" s="49">
        <v>2001</v>
      </c>
      <c r="B16" s="55" t="s">
        <v>20</v>
      </c>
      <c r="C16" s="55"/>
      <c r="D16" s="44"/>
      <c r="E16" s="44"/>
      <c r="F16" s="44"/>
      <c r="G16" s="44"/>
      <c r="H16" s="46"/>
      <c r="I16" s="47"/>
      <c r="J16" s="39"/>
      <c r="K16" s="40" t="s">
        <v>15</v>
      </c>
      <c r="L16" s="83">
        <f>L17+L18</f>
        <v>10387.5</v>
      </c>
      <c r="M16" s="41" t="s">
        <v>9</v>
      </c>
      <c r="N16" s="41" t="s">
        <v>15</v>
      </c>
      <c r="O16" s="41">
        <f>SUM(O17:O18)</f>
        <v>0</v>
      </c>
      <c r="P16" s="41" t="s">
        <v>12</v>
      </c>
      <c r="Q16" s="41" t="s">
        <v>41</v>
      </c>
      <c r="R16" s="41">
        <f>SUM(R17:R18)</f>
        <v>0</v>
      </c>
      <c r="S16" s="41" t="s">
        <v>9</v>
      </c>
      <c r="T16" s="41" t="s">
        <v>11</v>
      </c>
      <c r="U16" s="41">
        <f>SUM(U17:U18)</f>
        <v>0</v>
      </c>
      <c r="V16" s="41" t="s">
        <v>12</v>
      </c>
      <c r="W16" s="41" t="s">
        <v>11</v>
      </c>
      <c r="X16" s="41">
        <f>SUM(X17:X18)</f>
        <v>0</v>
      </c>
      <c r="Y16" s="42" t="s">
        <v>12</v>
      </c>
    </row>
    <row r="17" spans="1:25" ht="15.5">
      <c r="A17" s="43"/>
      <c r="B17" s="44"/>
      <c r="C17" s="44" t="s">
        <v>45</v>
      </c>
      <c r="D17" s="44"/>
      <c r="E17" s="44"/>
      <c r="F17" s="44"/>
      <c r="G17" s="44"/>
      <c r="H17" s="46">
        <v>1</v>
      </c>
      <c r="I17" s="47">
        <v>6000</v>
      </c>
      <c r="J17" s="48"/>
      <c r="K17" s="31" t="s">
        <v>46</v>
      </c>
      <c r="L17" s="85">
        <f>H17*I17</f>
        <v>6000</v>
      </c>
      <c r="M17" s="32" t="s">
        <v>12</v>
      </c>
      <c r="N17" s="32" t="s">
        <v>15</v>
      </c>
      <c r="O17" s="32"/>
      <c r="P17" s="32" t="s">
        <v>12</v>
      </c>
      <c r="Q17" s="32" t="s">
        <v>10</v>
      </c>
      <c r="R17" s="32"/>
      <c r="S17" s="32" t="s">
        <v>12</v>
      </c>
      <c r="T17" s="32" t="s">
        <v>11</v>
      </c>
      <c r="U17" s="32"/>
      <c r="V17" s="32" t="s">
        <v>9</v>
      </c>
      <c r="W17" s="32" t="s">
        <v>23</v>
      </c>
      <c r="X17" s="32"/>
      <c r="Y17" s="33" t="s">
        <v>12</v>
      </c>
    </row>
    <row r="18" spans="1:25" ht="15.5">
      <c r="A18" s="43"/>
      <c r="B18" s="44"/>
      <c r="C18" s="44" t="s">
        <v>21</v>
      </c>
      <c r="D18" s="44"/>
      <c r="E18" s="44"/>
      <c r="F18" s="44"/>
      <c r="G18" s="44"/>
      <c r="H18" s="46">
        <v>0.15</v>
      </c>
      <c r="I18" s="47">
        <f>I12+I13</f>
        <v>29250</v>
      </c>
      <c r="J18" s="48"/>
      <c r="K18" s="31" t="s">
        <v>15</v>
      </c>
      <c r="L18" s="85">
        <f t="shared" si="0"/>
        <v>4387.5</v>
      </c>
      <c r="M18" s="32" t="s">
        <v>12</v>
      </c>
      <c r="N18" s="32" t="s">
        <v>15</v>
      </c>
      <c r="O18" s="32"/>
      <c r="P18" s="32" t="s">
        <v>12</v>
      </c>
      <c r="Q18" s="32" t="s">
        <v>16</v>
      </c>
      <c r="R18" s="32"/>
      <c r="S18" s="32" t="s">
        <v>9</v>
      </c>
      <c r="T18" s="32" t="s">
        <v>11</v>
      </c>
      <c r="U18" s="32"/>
      <c r="V18" s="32" t="s">
        <v>12</v>
      </c>
      <c r="W18" s="32" t="s">
        <v>18</v>
      </c>
      <c r="X18" s="32"/>
      <c r="Y18" s="33" t="s">
        <v>12</v>
      </c>
    </row>
    <row r="19" spans="1:25" ht="15.5">
      <c r="A19" s="49">
        <v>2002</v>
      </c>
      <c r="B19" s="56" t="s">
        <v>22</v>
      </c>
      <c r="C19" s="55"/>
      <c r="D19" s="55"/>
      <c r="E19" s="55"/>
      <c r="F19" s="55"/>
      <c r="G19" s="44"/>
      <c r="H19" s="46"/>
      <c r="I19" s="47"/>
      <c r="J19" s="48"/>
      <c r="K19" s="40" t="s">
        <v>15</v>
      </c>
      <c r="L19" s="83">
        <f>L20+L21</f>
        <v>6907.5</v>
      </c>
      <c r="M19" s="41" t="s">
        <v>12</v>
      </c>
      <c r="N19" s="41" t="s">
        <v>15</v>
      </c>
      <c r="O19" s="41">
        <f>SUM(O20:O23)</f>
        <v>0</v>
      </c>
      <c r="P19" s="41" t="s">
        <v>12</v>
      </c>
      <c r="Q19" s="41" t="s">
        <v>16</v>
      </c>
      <c r="R19" s="41">
        <f>SUM(R20:R23)</f>
        <v>0</v>
      </c>
      <c r="S19" s="41" t="s">
        <v>12</v>
      </c>
      <c r="T19" s="41" t="s">
        <v>11</v>
      </c>
      <c r="U19" s="41">
        <f>SUM(U20:U23)</f>
        <v>0</v>
      </c>
      <c r="V19" s="41" t="s">
        <v>12</v>
      </c>
      <c r="W19" s="41" t="s">
        <v>11</v>
      </c>
      <c r="X19" s="41">
        <f>SUM(X20:X23)</f>
        <v>0</v>
      </c>
      <c r="Y19" s="42" t="s">
        <v>8</v>
      </c>
    </row>
    <row r="20" spans="1:25" ht="15.5">
      <c r="A20" s="43"/>
      <c r="B20" s="44"/>
      <c r="C20" s="45" t="s">
        <v>47</v>
      </c>
      <c r="D20" s="44"/>
      <c r="E20" s="44"/>
      <c r="F20" s="44"/>
      <c r="G20" s="44"/>
      <c r="H20" s="46">
        <v>2520</v>
      </c>
      <c r="I20" s="47">
        <v>1</v>
      </c>
      <c r="J20" s="48"/>
      <c r="K20" s="31" t="s">
        <v>48</v>
      </c>
      <c r="L20" s="85">
        <f t="shared" si="0"/>
        <v>2520</v>
      </c>
      <c r="M20" s="32" t="s">
        <v>12</v>
      </c>
      <c r="N20" s="32" t="s">
        <v>15</v>
      </c>
      <c r="O20" s="32"/>
      <c r="P20" s="32" t="s">
        <v>12</v>
      </c>
      <c r="Q20" s="32" t="s">
        <v>10</v>
      </c>
      <c r="R20" s="32"/>
      <c r="S20" s="32" t="s">
        <v>9</v>
      </c>
      <c r="T20" s="32" t="s">
        <v>11</v>
      </c>
      <c r="U20" s="32"/>
      <c r="V20" s="32" t="s">
        <v>12</v>
      </c>
      <c r="W20" s="32" t="s">
        <v>18</v>
      </c>
      <c r="X20" s="32"/>
      <c r="Y20" s="33" t="s">
        <v>12</v>
      </c>
    </row>
    <row r="21" spans="1:25" ht="15.5">
      <c r="A21" s="43"/>
      <c r="B21" s="44"/>
      <c r="C21" s="45" t="s">
        <v>24</v>
      </c>
      <c r="D21" s="44"/>
      <c r="E21" s="44"/>
      <c r="F21" s="44"/>
      <c r="G21" s="44"/>
      <c r="H21" s="46">
        <v>0.15</v>
      </c>
      <c r="I21" s="47">
        <f>I12+I13</f>
        <v>29250</v>
      </c>
      <c r="J21" s="48"/>
      <c r="K21" s="31" t="s">
        <v>10</v>
      </c>
      <c r="L21" s="85">
        <f t="shared" si="0"/>
        <v>4387.5</v>
      </c>
      <c r="M21" s="32" t="s">
        <v>12</v>
      </c>
      <c r="N21" s="32" t="s">
        <v>15</v>
      </c>
      <c r="O21" s="32"/>
      <c r="P21" s="32" t="s">
        <v>12</v>
      </c>
      <c r="Q21" s="32" t="s">
        <v>10</v>
      </c>
      <c r="R21" s="32"/>
      <c r="S21" s="32" t="s">
        <v>12</v>
      </c>
      <c r="T21" s="32" t="s">
        <v>18</v>
      </c>
      <c r="U21" s="32"/>
      <c r="V21" s="32" t="s">
        <v>12</v>
      </c>
      <c r="W21" s="32" t="s">
        <v>11</v>
      </c>
      <c r="X21" s="32"/>
      <c r="Y21" s="33" t="s">
        <v>12</v>
      </c>
    </row>
    <row r="22" spans="1:25" ht="15.5">
      <c r="A22" s="49">
        <v>2003</v>
      </c>
      <c r="B22" s="56" t="s">
        <v>22</v>
      </c>
      <c r="C22" s="45"/>
      <c r="D22" s="44"/>
      <c r="E22" s="44"/>
      <c r="F22" s="44"/>
      <c r="G22" s="44"/>
      <c r="H22" s="46"/>
      <c r="I22" s="47"/>
      <c r="J22" s="48"/>
      <c r="K22" s="31"/>
      <c r="L22" s="83">
        <f>L23+L24</f>
        <v>13815</v>
      </c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3"/>
    </row>
    <row r="23" spans="1:25" ht="15.5">
      <c r="A23" s="43"/>
      <c r="B23" s="44"/>
      <c r="C23" s="44" t="s">
        <v>25</v>
      </c>
      <c r="D23" s="44"/>
      <c r="E23" s="44"/>
      <c r="F23" s="44"/>
      <c r="G23" s="44"/>
      <c r="H23" s="46">
        <v>2520</v>
      </c>
      <c r="I23" s="47">
        <v>2</v>
      </c>
      <c r="J23" s="48"/>
      <c r="K23" s="31" t="s">
        <v>10</v>
      </c>
      <c r="L23" s="85">
        <f t="shared" si="0"/>
        <v>5040</v>
      </c>
      <c r="M23" s="32" t="s">
        <v>12</v>
      </c>
      <c r="N23" s="32" t="s">
        <v>15</v>
      </c>
      <c r="O23" s="32"/>
      <c r="P23" s="32" t="s">
        <v>12</v>
      </c>
      <c r="Q23" s="32" t="s">
        <v>10</v>
      </c>
      <c r="R23" s="32"/>
      <c r="S23" s="32" t="s">
        <v>12</v>
      </c>
      <c r="T23" s="32" t="s">
        <v>18</v>
      </c>
      <c r="U23" s="32"/>
      <c r="V23" s="32" t="s">
        <v>12</v>
      </c>
      <c r="W23" s="32" t="s">
        <v>11</v>
      </c>
      <c r="X23" s="32"/>
      <c r="Y23" s="33" t="s">
        <v>12</v>
      </c>
    </row>
    <row r="24" spans="1:25" ht="15.5">
      <c r="A24" s="43"/>
      <c r="B24" s="44"/>
      <c r="C24" s="44" t="s">
        <v>21</v>
      </c>
      <c r="D24" s="44"/>
      <c r="E24" s="44"/>
      <c r="F24" s="44"/>
      <c r="G24" s="44"/>
      <c r="H24" s="46">
        <v>0.3</v>
      </c>
      <c r="I24" s="47">
        <f>I12+I13</f>
        <v>29250</v>
      </c>
      <c r="J24" s="48"/>
      <c r="K24" s="31" t="s">
        <v>10</v>
      </c>
      <c r="L24" s="85">
        <f t="shared" si="0"/>
        <v>8775</v>
      </c>
      <c r="M24" s="32" t="s">
        <v>9</v>
      </c>
      <c r="N24" s="32" t="s">
        <v>15</v>
      </c>
      <c r="O24" s="32"/>
      <c r="P24" s="32" t="s">
        <v>9</v>
      </c>
      <c r="Q24" s="32" t="s">
        <v>10</v>
      </c>
      <c r="R24" s="32"/>
      <c r="S24" s="32" t="s">
        <v>9</v>
      </c>
      <c r="T24" s="32" t="s">
        <v>18</v>
      </c>
      <c r="U24" s="32"/>
      <c r="V24" s="32" t="s">
        <v>12</v>
      </c>
      <c r="W24" s="32" t="s">
        <v>11</v>
      </c>
      <c r="X24" s="32"/>
      <c r="Y24" s="33" t="s">
        <v>9</v>
      </c>
    </row>
    <row r="25" spans="1:25" ht="15.5">
      <c r="A25" s="43"/>
      <c r="B25" s="44"/>
      <c r="C25" s="44" t="s">
        <v>26</v>
      </c>
      <c r="D25" s="44"/>
      <c r="E25" s="44"/>
      <c r="F25" s="44"/>
      <c r="G25" s="44"/>
      <c r="H25" s="46"/>
      <c r="I25" s="47"/>
      <c r="J25" s="48"/>
      <c r="K25" s="31" t="s">
        <v>10</v>
      </c>
      <c r="L25" s="85">
        <f t="shared" si="0"/>
        <v>0</v>
      </c>
      <c r="M25" s="32" t="s">
        <v>12</v>
      </c>
      <c r="N25" s="32" t="s">
        <v>15</v>
      </c>
      <c r="O25" s="32"/>
      <c r="P25" s="32" t="s">
        <v>9</v>
      </c>
      <c r="Q25" s="32" t="s">
        <v>10</v>
      </c>
      <c r="R25" s="32"/>
      <c r="S25" s="32" t="s">
        <v>9</v>
      </c>
      <c r="T25" s="32" t="s">
        <v>18</v>
      </c>
      <c r="U25" s="32"/>
      <c r="V25" s="32" t="s">
        <v>9</v>
      </c>
      <c r="W25" s="32" t="s">
        <v>11</v>
      </c>
      <c r="X25" s="32"/>
      <c r="Y25" s="33" t="s">
        <v>9</v>
      </c>
    </row>
    <row r="26" spans="1:25" ht="15.5">
      <c r="A26" s="43">
        <v>3001</v>
      </c>
      <c r="B26" s="44" t="s">
        <v>27</v>
      </c>
      <c r="C26" s="44"/>
      <c r="D26" s="44"/>
      <c r="E26" s="44"/>
      <c r="F26" s="44"/>
      <c r="G26" s="44"/>
      <c r="H26" s="46">
        <v>5000</v>
      </c>
      <c r="I26" s="47">
        <v>2</v>
      </c>
      <c r="J26" s="48"/>
      <c r="K26" s="31" t="s">
        <v>10</v>
      </c>
      <c r="L26" s="83">
        <f t="shared" si="0"/>
        <v>10000</v>
      </c>
      <c r="M26" s="32" t="s">
        <v>12</v>
      </c>
      <c r="N26" s="32" t="s">
        <v>15</v>
      </c>
      <c r="O26" s="32"/>
      <c r="P26" s="32" t="s">
        <v>12</v>
      </c>
      <c r="Q26" s="32" t="s">
        <v>10</v>
      </c>
      <c r="R26" s="32"/>
      <c r="S26" s="32" t="s">
        <v>9</v>
      </c>
      <c r="T26" s="32" t="s">
        <v>18</v>
      </c>
      <c r="U26" s="32"/>
      <c r="V26" s="32" t="s">
        <v>9</v>
      </c>
      <c r="W26" s="32" t="s">
        <v>11</v>
      </c>
      <c r="X26" s="32"/>
      <c r="Y26" s="33" t="s">
        <v>12</v>
      </c>
    </row>
    <row r="27" spans="1:25" ht="15.5">
      <c r="A27" s="49">
        <v>4001</v>
      </c>
      <c r="B27" s="57" t="s">
        <v>28</v>
      </c>
      <c r="C27" s="55"/>
      <c r="D27" s="44"/>
      <c r="E27" s="44"/>
      <c r="F27" s="44"/>
      <c r="G27" s="44"/>
      <c r="H27" s="46"/>
      <c r="I27" s="47"/>
      <c r="J27" s="48"/>
      <c r="K27" s="40" t="s">
        <v>15</v>
      </c>
      <c r="L27" s="83">
        <f>L28+L29</f>
        <v>1200</v>
      </c>
      <c r="M27" s="41" t="s">
        <v>9</v>
      </c>
      <c r="N27" s="41" t="s">
        <v>15</v>
      </c>
      <c r="O27" s="41">
        <f>SUM(O28:O29)</f>
        <v>0</v>
      </c>
      <c r="P27" s="41" t="s">
        <v>12</v>
      </c>
      <c r="Q27" s="41" t="s">
        <v>16</v>
      </c>
      <c r="R27" s="41">
        <f>SUM(R28:R29)</f>
        <v>0</v>
      </c>
      <c r="S27" s="41" t="s">
        <v>9</v>
      </c>
      <c r="T27" s="41" t="s">
        <v>11</v>
      </c>
      <c r="U27" s="41">
        <f>SUM(U28:U29)</f>
        <v>0</v>
      </c>
      <c r="V27" s="41" t="s">
        <v>9</v>
      </c>
      <c r="W27" s="41" t="s">
        <v>11</v>
      </c>
      <c r="X27" s="41">
        <f>SUM(X28:X29)</f>
        <v>0</v>
      </c>
      <c r="Y27" s="42" t="s">
        <v>12</v>
      </c>
    </row>
    <row r="28" spans="1:25" ht="15.5">
      <c r="A28" s="49"/>
      <c r="B28" s="54" t="s">
        <v>49</v>
      </c>
      <c r="C28" s="55"/>
      <c r="D28" s="44"/>
      <c r="E28" s="44"/>
      <c r="F28" s="44"/>
      <c r="G28" s="44"/>
      <c r="H28" s="46">
        <v>200</v>
      </c>
      <c r="I28" s="47">
        <v>1</v>
      </c>
      <c r="J28" s="48"/>
      <c r="K28" s="31" t="s">
        <v>10</v>
      </c>
      <c r="L28" s="85">
        <f t="shared" si="0"/>
        <v>200</v>
      </c>
      <c r="M28" s="32" t="s">
        <v>12</v>
      </c>
      <c r="N28" s="32" t="s">
        <v>15</v>
      </c>
      <c r="O28" s="32"/>
      <c r="P28" s="32" t="s">
        <v>12</v>
      </c>
      <c r="Q28" s="32" t="s">
        <v>10</v>
      </c>
      <c r="R28" s="32"/>
      <c r="S28" s="32" t="s">
        <v>12</v>
      </c>
      <c r="T28" s="32" t="s">
        <v>18</v>
      </c>
      <c r="U28" s="32"/>
      <c r="V28" s="32" t="s">
        <v>12</v>
      </c>
      <c r="W28" s="32" t="s">
        <v>11</v>
      </c>
      <c r="X28" s="32"/>
      <c r="Y28" s="33" t="s">
        <v>12</v>
      </c>
    </row>
    <row r="29" spans="1:25" ht="15.5">
      <c r="A29" s="43"/>
      <c r="B29" s="44" t="s">
        <v>29</v>
      </c>
      <c r="C29" s="44"/>
      <c r="D29" s="44"/>
      <c r="E29" s="44"/>
      <c r="F29" s="44"/>
      <c r="G29" s="44"/>
      <c r="H29" s="46">
        <v>1000</v>
      </c>
      <c r="I29" s="47">
        <v>1</v>
      </c>
      <c r="J29" s="48"/>
      <c r="K29" s="31" t="s">
        <v>10</v>
      </c>
      <c r="L29" s="85">
        <f t="shared" si="0"/>
        <v>1000</v>
      </c>
      <c r="M29" s="32" t="s">
        <v>12</v>
      </c>
      <c r="N29" s="32" t="s">
        <v>15</v>
      </c>
      <c r="O29" s="32"/>
      <c r="P29" s="32" t="s">
        <v>12</v>
      </c>
      <c r="Q29" s="32" t="s">
        <v>10</v>
      </c>
      <c r="R29" s="32"/>
      <c r="S29" s="32" t="s">
        <v>12</v>
      </c>
      <c r="T29" s="32" t="s">
        <v>18</v>
      </c>
      <c r="U29" s="32"/>
      <c r="V29" s="32" t="s">
        <v>12</v>
      </c>
      <c r="W29" s="32" t="s">
        <v>11</v>
      </c>
      <c r="X29" s="32"/>
      <c r="Y29" s="33" t="s">
        <v>12</v>
      </c>
    </row>
    <row r="30" spans="1:25" ht="15.5">
      <c r="A30" s="43">
        <v>5001</v>
      </c>
      <c r="B30" s="44" t="s">
        <v>53</v>
      </c>
      <c r="C30" s="44"/>
      <c r="D30" s="44"/>
      <c r="E30" s="44"/>
      <c r="F30" s="44"/>
      <c r="G30" s="44"/>
      <c r="H30" s="46">
        <v>25</v>
      </c>
      <c r="I30" s="47">
        <f>I12+I13</f>
        <v>29250</v>
      </c>
      <c r="J30" s="48"/>
      <c r="K30" s="31" t="s">
        <v>10</v>
      </c>
      <c r="L30" s="83">
        <f t="shared" si="0"/>
        <v>731250</v>
      </c>
      <c r="M30" s="32" t="s">
        <v>12</v>
      </c>
      <c r="N30" s="32" t="s">
        <v>15</v>
      </c>
      <c r="O30" s="32"/>
      <c r="P30" s="32" t="s">
        <v>12</v>
      </c>
      <c r="Q30" s="32" t="s">
        <v>10</v>
      </c>
      <c r="R30" s="32"/>
      <c r="S30" s="32" t="s">
        <v>12</v>
      </c>
      <c r="T30" s="32" t="s">
        <v>11</v>
      </c>
      <c r="U30" s="32"/>
      <c r="V30" s="32" t="s">
        <v>12</v>
      </c>
      <c r="W30" s="32" t="s">
        <v>18</v>
      </c>
      <c r="X30" s="32"/>
      <c r="Y30" s="33" t="s">
        <v>12</v>
      </c>
    </row>
    <row r="31" spans="1:25" ht="16" thickBot="1">
      <c r="A31" s="58">
        <v>6001</v>
      </c>
      <c r="B31" s="59" t="s">
        <v>54</v>
      </c>
      <c r="C31" s="59"/>
      <c r="D31" s="59"/>
      <c r="E31" s="59"/>
      <c r="F31" s="59"/>
      <c r="G31" s="59"/>
      <c r="H31" s="60">
        <v>7</v>
      </c>
      <c r="I31" s="61">
        <f>I12+I13</f>
        <v>29250</v>
      </c>
      <c r="J31" s="62"/>
      <c r="K31" s="63" t="s">
        <v>10</v>
      </c>
      <c r="L31" s="83">
        <f t="shared" si="0"/>
        <v>204750</v>
      </c>
      <c r="M31" s="64" t="s">
        <v>12</v>
      </c>
      <c r="N31" s="64" t="s">
        <v>15</v>
      </c>
      <c r="O31" s="64"/>
      <c r="P31" s="64" t="s">
        <v>12</v>
      </c>
      <c r="Q31" s="64" t="s">
        <v>16</v>
      </c>
      <c r="R31" s="64"/>
      <c r="S31" s="64" t="s">
        <v>12</v>
      </c>
      <c r="T31" s="64" t="s">
        <v>11</v>
      </c>
      <c r="U31" s="64"/>
      <c r="V31" s="64" t="s">
        <v>12</v>
      </c>
      <c r="W31" s="64" t="s">
        <v>18</v>
      </c>
      <c r="X31" s="64"/>
      <c r="Y31" s="65" t="s">
        <v>12</v>
      </c>
    </row>
    <row r="32" spans="1:25" ht="16" thickTop="1">
      <c r="A32" s="66"/>
      <c r="B32" s="67"/>
      <c r="C32" s="67"/>
      <c r="D32" s="67"/>
      <c r="E32" s="67"/>
      <c r="F32" s="67"/>
      <c r="G32" s="67"/>
      <c r="H32" s="68" t="s">
        <v>56</v>
      </c>
      <c r="I32" s="67"/>
      <c r="J32" s="48"/>
      <c r="K32" s="69"/>
      <c r="L32" s="69">
        <f>L10+L15+L16+L19+L22+L26+L27</f>
        <v>576610</v>
      </c>
      <c r="M32" s="69" t="s">
        <v>9</v>
      </c>
      <c r="N32" s="69" t="s">
        <v>15</v>
      </c>
      <c r="O32" s="69">
        <f>SUM(O33:O35)</f>
        <v>0</v>
      </c>
      <c r="P32" s="69" t="s">
        <v>9</v>
      </c>
      <c r="Q32" s="69" t="s">
        <v>41</v>
      </c>
      <c r="R32" s="69">
        <f>SUM(R33:R35)</f>
        <v>0</v>
      </c>
      <c r="S32" s="69" t="s">
        <v>9</v>
      </c>
      <c r="T32" s="69" t="s">
        <v>50</v>
      </c>
      <c r="U32" s="69">
        <f>SUM(U33:U35)</f>
        <v>0</v>
      </c>
      <c r="V32" s="69" t="s">
        <v>9</v>
      </c>
      <c r="W32" s="69" t="s">
        <v>11</v>
      </c>
      <c r="X32" s="69">
        <f>SUM(X33:X35)</f>
        <v>0</v>
      </c>
      <c r="Y32" s="69" t="s">
        <v>9</v>
      </c>
    </row>
    <row r="33" spans="1:25" ht="15.5">
      <c r="A33" s="70"/>
      <c r="B33" s="67"/>
      <c r="C33" s="67"/>
      <c r="D33" s="67"/>
      <c r="E33" s="67"/>
      <c r="F33" s="67"/>
      <c r="G33" s="67"/>
      <c r="H33" s="68"/>
      <c r="I33" s="67"/>
      <c r="J33" s="48"/>
      <c r="K33" s="71" t="s">
        <v>16</v>
      </c>
      <c r="L33" s="82"/>
      <c r="M33" s="32" t="s">
        <v>9</v>
      </c>
      <c r="N33" s="32" t="s">
        <v>10</v>
      </c>
      <c r="O33" s="32"/>
      <c r="P33" s="32" t="s">
        <v>9</v>
      </c>
      <c r="Q33" s="32" t="s">
        <v>51</v>
      </c>
      <c r="R33" s="32"/>
      <c r="S33" s="32" t="s">
        <v>12</v>
      </c>
      <c r="T33" s="32" t="s">
        <v>50</v>
      </c>
      <c r="U33" s="32"/>
      <c r="V33" s="32" t="s">
        <v>12</v>
      </c>
      <c r="W33" s="32" t="s">
        <v>18</v>
      </c>
      <c r="X33" s="32"/>
      <c r="Y33" s="32" t="s">
        <v>12</v>
      </c>
    </row>
    <row r="34" spans="1:25" ht="15.5">
      <c r="A34" s="70"/>
      <c r="B34" s="67"/>
      <c r="C34" s="67"/>
      <c r="D34" s="67"/>
      <c r="E34" s="67"/>
      <c r="F34" s="67"/>
      <c r="G34" s="67"/>
      <c r="H34" s="68"/>
      <c r="I34" s="67"/>
      <c r="J34" s="48"/>
      <c r="K34" s="71" t="s">
        <v>41</v>
      </c>
      <c r="L34" s="82"/>
      <c r="M34" s="32" t="s">
        <v>9</v>
      </c>
      <c r="N34" s="32" t="s">
        <v>10</v>
      </c>
      <c r="O34" s="32"/>
      <c r="P34" s="32" t="s">
        <v>12</v>
      </c>
      <c r="Q34" s="32" t="s">
        <v>16</v>
      </c>
      <c r="R34" s="32"/>
      <c r="S34" s="32" t="s">
        <v>9</v>
      </c>
      <c r="T34" s="32" t="s">
        <v>11</v>
      </c>
      <c r="U34" s="32"/>
      <c r="V34" s="32" t="s">
        <v>9</v>
      </c>
      <c r="W34" s="32" t="s">
        <v>23</v>
      </c>
      <c r="X34" s="32"/>
      <c r="Y34" s="32" t="s">
        <v>12</v>
      </c>
    </row>
    <row r="35" spans="1:25" ht="16" thickBot="1">
      <c r="A35" s="72"/>
      <c r="B35" s="73"/>
      <c r="C35" s="73"/>
      <c r="D35" s="73"/>
      <c r="E35" s="73"/>
      <c r="F35" s="73"/>
      <c r="G35" s="73"/>
      <c r="H35" s="74"/>
      <c r="I35" s="73"/>
      <c r="J35" s="62"/>
      <c r="K35" s="71" t="s">
        <v>41</v>
      </c>
      <c r="L35" s="80"/>
      <c r="M35" s="71" t="s">
        <v>12</v>
      </c>
      <c r="N35" s="71" t="s">
        <v>10</v>
      </c>
      <c r="O35" s="71"/>
      <c r="P35" s="71" t="s">
        <v>12</v>
      </c>
      <c r="Q35" s="71" t="s">
        <v>16</v>
      </c>
      <c r="R35" s="71"/>
      <c r="S35" s="71" t="s">
        <v>12</v>
      </c>
      <c r="T35" s="71" t="s">
        <v>11</v>
      </c>
      <c r="U35" s="71"/>
      <c r="V35" s="71" t="s">
        <v>12</v>
      </c>
      <c r="W35" s="71" t="s">
        <v>18</v>
      </c>
      <c r="X35" s="71"/>
      <c r="Y35" s="71" t="s">
        <v>12</v>
      </c>
    </row>
    <row r="36" spans="1:25" ht="16.5" thickTop="1" thickBot="1">
      <c r="A36" s="75"/>
      <c r="B36" s="76"/>
      <c r="C36" s="77"/>
      <c r="D36" s="78"/>
      <c r="E36" s="78" t="s">
        <v>52</v>
      </c>
      <c r="F36" s="79"/>
      <c r="G36" s="79"/>
      <c r="H36" s="80" t="s">
        <v>57</v>
      </c>
      <c r="I36" s="71"/>
      <c r="J36" s="81" t="s">
        <v>55</v>
      </c>
      <c r="K36" s="86">
        <f>L30-L10-L15-L16-L19-L22-L26-L27</f>
        <v>154640</v>
      </c>
      <c r="L36" s="87"/>
      <c r="M36" s="88"/>
      <c r="N36" s="86"/>
      <c r="O36" s="87"/>
      <c r="P36" s="88"/>
      <c r="Q36" s="86"/>
      <c r="R36" s="87"/>
      <c r="S36" s="88"/>
      <c r="T36" s="86"/>
      <c r="U36" s="87"/>
      <c r="V36" s="88"/>
      <c r="W36" s="86"/>
      <c r="X36" s="87"/>
      <c r="Y36" s="88"/>
    </row>
  </sheetData>
  <mergeCells count="10">
    <mergeCell ref="A1:Y2"/>
    <mergeCell ref="K9:M9"/>
    <mergeCell ref="N9:P9"/>
    <mergeCell ref="Q9:S9"/>
    <mergeCell ref="T9:V9"/>
    <mergeCell ref="K36:M36"/>
    <mergeCell ref="N36:P36"/>
    <mergeCell ref="Q36:S36"/>
    <mergeCell ref="T36:V36"/>
    <mergeCell ref="W36:Y36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项目预算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2026-05-23T13:01:10Z</dcterms:modified>
</cp:coreProperties>
</file>